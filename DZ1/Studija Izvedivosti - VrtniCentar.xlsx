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raga\Downloads\"/>
    </mc:Choice>
  </mc:AlternateContent>
  <xr:revisionPtr revIDLastSave="0" documentId="13_ncr:1_{E423A980-9019-4454-BD51-A11069DCF800}" xr6:coauthVersionLast="47" xr6:coauthVersionMax="47" xr10:uidLastSave="{00000000-0000-0000-0000-000000000000}"/>
  <bookViews>
    <workbookView xWindow="-98" yWindow="-98" windowWidth="21795" windowHeight="11625" tabRatio="500" activeTab="1" xr2:uid="{00000000-000D-0000-FFFF-FFFF00000000}"/>
  </bookViews>
  <sheets>
    <sheet name="Analiza izvedivosti" sheetId="1" r:id="rId1"/>
    <sheet name="Analiza troškov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1" l="1"/>
  <c r="G13" i="1"/>
  <c r="G7" i="1"/>
  <c r="B42" i="2"/>
  <c r="E42" i="2"/>
  <c r="D42" i="2"/>
  <c r="C42" i="2"/>
  <c r="D8" i="2"/>
  <c r="E33" i="2"/>
  <c r="D33" i="2"/>
  <c r="C33" i="2"/>
  <c r="B33" i="2"/>
  <c r="D20" i="2"/>
  <c r="D18" i="2"/>
  <c r="D11" i="2"/>
  <c r="D7" i="2"/>
  <c r="D6" i="2"/>
  <c r="D5" i="2"/>
  <c r="F19" i="1"/>
  <c r="E19" i="1"/>
  <c r="D19" i="1"/>
  <c r="C19" i="1"/>
  <c r="F13" i="1"/>
  <c r="E13" i="1"/>
  <c r="D13" i="1"/>
  <c r="C13" i="1"/>
  <c r="F7" i="1"/>
  <c r="E7" i="1"/>
  <c r="D7" i="1"/>
  <c r="C7" i="1"/>
  <c r="E43" i="2" l="1"/>
  <c r="D21" i="2"/>
  <c r="D43" i="2"/>
  <c r="B43" i="2"/>
  <c r="B44" i="2" s="1"/>
  <c r="C43" i="2"/>
  <c r="C44" i="2" l="1"/>
  <c r="C45" i="2" s="1"/>
  <c r="D44" i="2" l="1"/>
  <c r="D45" i="2" l="1"/>
  <c r="E44" i="2"/>
  <c r="E45" i="2" s="1"/>
</calcChain>
</file>

<file path=xl/sharedStrings.xml><?xml version="1.0" encoding="utf-8"?>
<sst xmlns="http://schemas.openxmlformats.org/spreadsheetml/2006/main" count="100" uniqueCount="77">
  <si>
    <t>Analiza izvedivosti</t>
  </si>
  <si>
    <t>Izrada vlastitog</t>
  </si>
  <si>
    <t>Operativna</t>
  </si>
  <si>
    <t>Tehnička</t>
  </si>
  <si>
    <t>Vremenska</t>
  </si>
  <si>
    <t>Ekonomska</t>
  </si>
  <si>
    <t>Ocjena alternative</t>
  </si>
  <si>
    <t>Nabava gotovog</t>
  </si>
  <si>
    <t>Konačni prijedlog alternative</t>
  </si>
  <si>
    <t>x</t>
  </si>
  <si>
    <t>Ljudski rad</t>
  </si>
  <si>
    <t>Količina (sati)</t>
  </si>
  <si>
    <t>Cijena (po satu, KM)</t>
  </si>
  <si>
    <t>Ukupno (KM)</t>
  </si>
  <si>
    <t>Edukacije</t>
  </si>
  <si>
    <t>Vrsta</t>
  </si>
  <si>
    <t>Količina (dana)</t>
  </si>
  <si>
    <t>Cijena (po danu, KM)</t>
  </si>
  <si>
    <t>Materijal</t>
  </si>
  <si>
    <t>Cijena (KM)</t>
  </si>
  <si>
    <t>Korisnička i tehnička dokumentacija</t>
  </si>
  <si>
    <t>Oprema i infrastruktura</t>
  </si>
  <si>
    <t>Količina</t>
  </si>
  <si>
    <t>Cijena (po komadu, KM)</t>
  </si>
  <si>
    <t>UKUPNO</t>
  </si>
  <si>
    <t>Stavka</t>
  </si>
  <si>
    <t>Godina 0 (2026)</t>
  </si>
  <si>
    <t>Godina 1 (2027)</t>
  </si>
  <si>
    <t>Godina 2 (2028)</t>
  </si>
  <si>
    <t>TROŠKOVI (KM)</t>
  </si>
  <si>
    <t>Razvoj sustava (rad tima)</t>
  </si>
  <si>
    <t>Edukacija korisnika</t>
  </si>
  <si>
    <t>Dokumentacija i materijal</t>
  </si>
  <si>
    <t>Testiranje i UAT</t>
  </si>
  <si>
    <t>Godišnje održavanje i podrška</t>
  </si>
  <si>
    <t>Nepredviđeni troškovi (~10%)</t>
  </si>
  <si>
    <t>Ukupni troškovi</t>
  </si>
  <si>
    <t>KORISTI (KM)</t>
  </si>
  <si>
    <t>Ukupne koristi</t>
  </si>
  <si>
    <t>Neto korist (KM)</t>
  </si>
  <si>
    <t>Kumulativna neto korist (KM)</t>
  </si>
  <si>
    <t>ROI (%)</t>
  </si>
  <si>
    <t>-</t>
  </si>
  <si>
    <t>VPS hosting - godišnja naknada</t>
  </si>
  <si>
    <t>Infrastruktura - VPS hosting</t>
  </si>
  <si>
    <t>Analiza povrata investicije (ROI) - projekcija 4 godine</t>
  </si>
  <si>
    <t>Godina 3 (2029)</t>
  </si>
  <si>
    <t>Izabrano</t>
  </si>
  <si>
    <t>Dragan</t>
  </si>
  <si>
    <t>Ana</t>
  </si>
  <si>
    <t>Marko</t>
  </si>
  <si>
    <t>Mirko</t>
  </si>
  <si>
    <t>Tomislav</t>
  </si>
  <si>
    <t>Obuka zaposlenika</t>
  </si>
  <si>
    <t>Smanjenje troškova nabave</t>
  </si>
  <si>
    <t>Povećanje online prodaje</t>
  </si>
  <si>
    <t>Efikasno upravljanje najmom</t>
  </si>
  <si>
    <t>Automatizacija procesa</t>
  </si>
  <si>
    <t>Smanjenje pogrešaka</t>
  </si>
  <si>
    <t>Ušteda vremena zaposlenika</t>
  </si>
  <si>
    <t>Optimizacija zaliha</t>
  </si>
  <si>
    <t>Zaposlenik</t>
  </si>
  <si>
    <t>Potrošni materijali</t>
  </si>
  <si>
    <t>Analiza troškova - AgroShop (Izrada vlastitog sustava)</t>
  </si>
  <si>
    <t>Razvojni alati i licence</t>
  </si>
  <si>
    <t>Testno okruženje i korisničko testiranje</t>
  </si>
  <si>
    <t>Trošak implementacije</t>
  </si>
  <si>
    <t>Vrijeme implementacije</t>
  </si>
  <si>
    <t>Složenost razvoja</t>
  </si>
  <si>
    <t>Skalabilnost sustava</t>
  </si>
  <si>
    <t>Jednostavnost korištenja</t>
  </si>
  <si>
    <t>Nadogradnja postojećeg</t>
  </si>
  <si>
    <t>Vlastiti razvoj omogućuje potpunu prilagodbu poslovnim procesima vrtnog centra AgroShop: upravljanje zalihama u stvarnom vremenu, online naručivanje i rezervacije, evidenciju i raspored najma opreme te automatizirano naručivanje od dobavljača uz analitiku prodaje. Projektni tim raspolaže potrebnim tehničkim znanjem za razvoj svih podsustava, a implementacija je planirana prema gantogramu do 11.06.2026. godine.</t>
  </si>
  <si>
    <t>Nabava gotovog rješenja omogućuje bržu implementaciju i smanjuje potrebu za razvojem od početka, ali donosi ograničenu prilagodbu specifičnim procesima AgroShopa, poput upravljanja najmom opreme i automatizirane nabave. Iako tehnička složenost ostaje umjerena, integracija s postojećim procesima i prilagodba funkcionalnosti mogu predstavljati izazov. Troškovi licenciranja i održavanja dodatno opterećuju ekonomsku isplativost, dok je fleksibilnost sustava ograničena u odnosu na vlastito rješenje. Ukupno gledano, ovo rješenje je brže za implementaciju, ali manje prilagodljivo i dugoročno manje optimalno.</t>
  </si>
  <si>
    <t>Nadogradnja postojećeg sustava predstavlja najbrže i troškovno najpovoljnije rješenje, jer se koristi postojeća infrastruktura i dio funkcionalnosti. Međutim, takav pristup značajno ograničava mogućnosti prilagodbe specifičnim potrebama AgroShopa, posebno u segmentima poput upravljanja najmom opreme, napredne analitike i automatizacije nabave. Tehnička ograničenja postojećeg sustava i njegova struktura otežavaju implementaciju novih funkcionalnosti, što se odražava na veću složenost nadogradnje i nižu fleksibilnost. Iako je vrijeme implementacije kratko, dugoročno rješenje može biti ograničeno u pogledu skalabilnosti i daljnjeg razvoja.</t>
  </si>
  <si>
    <t>Nije izabrano</t>
  </si>
  <si>
    <r>
      <t xml:space="preserve">Trošak implementacije, Složenost razvoja i Skalabilnost sustava se svi bodovno dodjeljuju izradi vlastitog rješenja, dok se jednostavnost korištenja dijeli između vlastitog rješenja i nadogradnje postojećeg. U konačnici je ipak izabrana alternativa rješenja: </t>
    </r>
    <r>
      <rPr>
        <b/>
        <sz val="12"/>
        <color rgb="FF444444"/>
        <rFont val="Calibri"/>
        <family val="2"/>
        <charset val="238"/>
      </rPr>
      <t>Izrada vlastitog rješenja</t>
    </r>
    <r>
      <rPr>
        <sz val="12"/>
        <color rgb="FF444444"/>
        <rFont val="Calibri"/>
        <family val="2"/>
        <charset val="238"/>
      </rPr>
      <t>. Implementacija skalablinog rješenja sa potpunom prilagodbom za potrebe AgroShop-a je ipak prevagnula pored brzine implementacije ostala dva modela.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</si>
</sst>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38"/>
      <scheme val="minor"/>
    </font>
    <font>
      <b/>
      <sz val="12"/>
      <color rgb="FF000000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theme="1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238"/>
      <scheme val="minor"/>
    </font>
    <font>
      <sz val="12"/>
      <color rgb="FF444444"/>
      <name val="Calibri"/>
      <family val="2"/>
      <charset val="238"/>
    </font>
    <font>
      <b/>
      <sz val="12"/>
      <color rgb="FF444444"/>
      <name val="Calibri"/>
      <family val="2"/>
      <charset val="238"/>
    </font>
    <font>
      <sz val="9"/>
      <color rgb="FF444444"/>
      <name val="Calibri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BDD7EE"/>
        <bgColor rgb="FFD9E1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theme="3" tint="0.79998168889431442"/>
        <bgColor rgb="FFE2EFDA"/>
      </patternFill>
    </fill>
    <fill>
      <patternFill patternType="solid">
        <fgColor theme="4" tint="0.79998168889431442"/>
        <bgColor rgb="FFD9E1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8" fillId="13" borderId="4" applyNumberFormat="0" applyFont="0" applyAlignment="0" applyProtection="0"/>
    <xf numFmtId="0" fontId="1" fillId="14" borderId="0" applyNumberFormat="0" applyBorder="0" applyAlignment="0" applyProtection="0"/>
  </cellStyleXfs>
  <cellXfs count="43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5" borderId="2" xfId="0" applyFill="1" applyBorder="1"/>
    <xf numFmtId="2" fontId="4" fillId="5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2" fontId="4" fillId="0" borderId="2" xfId="0" applyNumberFormat="1" applyFont="1" applyBorder="1" applyAlignment="1">
      <alignment horizontal="right" vertical="center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right" vertical="center"/>
    </xf>
    <xf numFmtId="3" fontId="5" fillId="8" borderId="2" xfId="0" applyNumberFormat="1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2" fontId="4" fillId="11" borderId="2" xfId="0" applyNumberFormat="1" applyFont="1" applyFill="1" applyBorder="1" applyAlignment="1">
      <alignment horizontal="right" vertical="center"/>
    </xf>
    <xf numFmtId="2" fontId="4" fillId="12" borderId="2" xfId="0" applyNumberFormat="1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13" borderId="4" xfId="1" applyFont="1" applyAlignment="1">
      <alignment horizontal="left" vertical="center" wrapText="1"/>
    </xf>
    <xf numFmtId="0" fontId="0" fillId="13" borderId="4" xfId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13" borderId="4" xfId="1" applyFont="1" applyAlignment="1">
      <alignment horizontal="center" vertical="center" wrapText="1"/>
    </xf>
    <xf numFmtId="0" fontId="1" fillId="14" borderId="2" xfId="2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9" fillId="14" borderId="2" xfId="2" applyFont="1" applyBorder="1" applyAlignment="1">
      <alignment horizontal="center" vertical="center" wrapText="1"/>
    </xf>
    <xf numFmtId="0" fontId="9" fillId="14" borderId="2" xfId="2" applyFont="1" applyBorder="1" applyAlignment="1">
      <alignment horizontal="center"/>
    </xf>
    <xf numFmtId="0" fontId="10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</cellXfs>
  <cellStyles count="3">
    <cellStyle name="60% - Isticanje3" xfId="2" builtinId="40"/>
    <cellStyle name="Bilješka" xfId="1" builtinId="10"/>
    <cellStyle name="Normalno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opLeftCell="A20" zoomScale="83" zoomScaleNormal="100" workbookViewId="0">
      <selection activeCell="J20" sqref="J20"/>
    </sheetView>
  </sheetViews>
  <sheetFormatPr defaultColWidth="8.6640625" defaultRowHeight="14.25" x14ac:dyDescent="0.45"/>
  <cols>
    <col min="1" max="1" width="26" customWidth="1"/>
    <col min="2" max="2" width="17.1328125" customWidth="1"/>
    <col min="3" max="6" width="24" customWidth="1"/>
    <col min="7" max="7" width="21.1328125" customWidth="1"/>
  </cols>
  <sheetData>
    <row r="1" spans="1:7" ht="19.5" customHeight="1" x14ac:dyDescent="0.45">
      <c r="A1" s="26" t="s">
        <v>0</v>
      </c>
      <c r="B1" s="27"/>
      <c r="C1" s="27"/>
      <c r="D1" s="27"/>
      <c r="E1" s="27"/>
      <c r="F1" s="27"/>
      <c r="G1" s="28"/>
    </row>
    <row r="2" spans="1:7" ht="30" customHeight="1" x14ac:dyDescent="0.45">
      <c r="A2" s="1"/>
      <c r="B2" s="1"/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</row>
    <row r="3" spans="1:7" ht="15" customHeight="1" x14ac:dyDescent="0.45">
      <c r="A3" s="22" t="s">
        <v>1</v>
      </c>
      <c r="B3" s="4" t="s">
        <v>2</v>
      </c>
      <c r="C3" s="4">
        <v>3</v>
      </c>
      <c r="D3" s="4">
        <v>2</v>
      </c>
      <c r="E3" s="4">
        <v>3</v>
      </c>
      <c r="F3" s="4">
        <v>3</v>
      </c>
      <c r="G3" s="4">
        <v>3</v>
      </c>
    </row>
    <row r="4" spans="1:7" x14ac:dyDescent="0.45">
      <c r="A4" s="22"/>
      <c r="B4" s="4" t="s">
        <v>3</v>
      </c>
      <c r="C4" s="4">
        <v>3</v>
      </c>
      <c r="D4" s="4">
        <v>2</v>
      </c>
      <c r="E4" s="4">
        <v>3</v>
      </c>
      <c r="F4" s="4">
        <v>3</v>
      </c>
      <c r="G4" s="4">
        <v>3</v>
      </c>
    </row>
    <row r="5" spans="1:7" x14ac:dyDescent="0.45">
      <c r="A5" s="22"/>
      <c r="B5" s="4" t="s">
        <v>4</v>
      </c>
      <c r="C5" s="4">
        <v>2</v>
      </c>
      <c r="D5" s="4">
        <v>2</v>
      </c>
      <c r="E5" s="4">
        <v>3</v>
      </c>
      <c r="F5" s="4">
        <v>2</v>
      </c>
      <c r="G5" s="4">
        <v>3</v>
      </c>
    </row>
    <row r="6" spans="1:7" x14ac:dyDescent="0.45">
      <c r="A6" s="22"/>
      <c r="B6" s="4" t="s">
        <v>5</v>
      </c>
      <c r="C6" s="4">
        <v>3</v>
      </c>
      <c r="D6" s="4">
        <v>2</v>
      </c>
      <c r="E6" s="4">
        <v>3</v>
      </c>
      <c r="F6" s="4">
        <v>2</v>
      </c>
      <c r="G6" s="4">
        <v>2</v>
      </c>
    </row>
    <row r="7" spans="1:7" x14ac:dyDescent="0.45">
      <c r="A7" s="5"/>
      <c r="B7" s="34" t="s">
        <v>6</v>
      </c>
      <c r="C7" s="6">
        <f>AVERAGE(C3:C6)</f>
        <v>2.75</v>
      </c>
      <c r="D7" s="6">
        <f>AVERAGE(D3:D6)</f>
        <v>2</v>
      </c>
      <c r="E7" s="6">
        <f>AVERAGE(E3:E6)</f>
        <v>3</v>
      </c>
      <c r="F7" s="6">
        <f>AVERAGE(F3:F6)</f>
        <v>2.5</v>
      </c>
      <c r="G7" s="6">
        <f>AVERAGE(G3:G6)</f>
        <v>2.75</v>
      </c>
    </row>
    <row r="8" spans="1:7" ht="75" customHeight="1" x14ac:dyDescent="0.45">
      <c r="A8" s="40" t="s">
        <v>72</v>
      </c>
      <c r="B8" s="41"/>
      <c r="C8" s="41"/>
      <c r="D8" s="41"/>
      <c r="E8" s="41"/>
      <c r="F8" s="41"/>
      <c r="G8" s="41"/>
    </row>
    <row r="9" spans="1:7" ht="15" customHeight="1" x14ac:dyDescent="0.45">
      <c r="A9" s="23" t="s">
        <v>7</v>
      </c>
      <c r="B9" s="4" t="s">
        <v>2</v>
      </c>
      <c r="C9" s="4">
        <v>1</v>
      </c>
      <c r="D9" s="4">
        <v>3</v>
      </c>
      <c r="E9" s="4">
        <v>3</v>
      </c>
      <c r="F9" s="4">
        <v>2</v>
      </c>
      <c r="G9" s="4">
        <v>2</v>
      </c>
    </row>
    <row r="10" spans="1:7" x14ac:dyDescent="0.45">
      <c r="A10" s="23"/>
      <c r="B10" s="4" t="s">
        <v>3</v>
      </c>
      <c r="C10" s="4">
        <v>2</v>
      </c>
      <c r="D10" s="4">
        <v>2</v>
      </c>
      <c r="E10" s="4">
        <v>3</v>
      </c>
      <c r="F10" s="4">
        <v>3</v>
      </c>
      <c r="G10" s="4">
        <v>2</v>
      </c>
    </row>
    <row r="11" spans="1:7" x14ac:dyDescent="0.45">
      <c r="A11" s="23"/>
      <c r="B11" s="4" t="s">
        <v>4</v>
      </c>
      <c r="C11" s="4">
        <v>3</v>
      </c>
      <c r="D11" s="4">
        <v>3</v>
      </c>
      <c r="E11" s="4">
        <v>1</v>
      </c>
      <c r="F11" s="4">
        <v>2</v>
      </c>
      <c r="G11" s="4">
        <v>2</v>
      </c>
    </row>
    <row r="12" spans="1:7" x14ac:dyDescent="0.45">
      <c r="A12" s="23"/>
      <c r="B12" s="4" t="s">
        <v>5</v>
      </c>
      <c r="C12" s="4">
        <v>2</v>
      </c>
      <c r="D12" s="4">
        <v>1</v>
      </c>
      <c r="E12" s="4">
        <v>2</v>
      </c>
      <c r="F12" s="4">
        <v>2</v>
      </c>
      <c r="G12" s="4">
        <v>2</v>
      </c>
    </row>
    <row r="13" spans="1:7" x14ac:dyDescent="0.45">
      <c r="A13" s="5"/>
      <c r="B13" s="34" t="s">
        <v>6</v>
      </c>
      <c r="C13" s="6">
        <f>AVERAGE(C9:C12)</f>
        <v>2</v>
      </c>
      <c r="D13" s="6">
        <f>AVERAGE(D9:D12)</f>
        <v>2.25</v>
      </c>
      <c r="E13" s="6">
        <f>AVERAGE(E9:E12)</f>
        <v>2.25</v>
      </c>
      <c r="F13" s="6">
        <f>AVERAGE(F9:F12)</f>
        <v>2.25</v>
      </c>
      <c r="G13" s="6">
        <f>AVERAGE(G9:G12)</f>
        <v>2</v>
      </c>
    </row>
    <row r="14" spans="1:7" ht="91.15" customHeight="1" x14ac:dyDescent="0.45">
      <c r="A14" s="40" t="s">
        <v>73</v>
      </c>
      <c r="B14" s="42"/>
      <c r="C14" s="42"/>
      <c r="D14" s="42"/>
      <c r="E14" s="42"/>
      <c r="F14" s="42"/>
      <c r="G14" s="42"/>
    </row>
    <row r="15" spans="1:7" ht="15" customHeight="1" x14ac:dyDescent="0.45">
      <c r="A15" s="21" t="s">
        <v>71</v>
      </c>
      <c r="B15" s="4" t="s">
        <v>2</v>
      </c>
      <c r="C15" s="4">
        <v>3</v>
      </c>
      <c r="D15" s="4">
        <v>1</v>
      </c>
      <c r="E15" s="4">
        <v>1</v>
      </c>
      <c r="F15" s="4">
        <v>1</v>
      </c>
      <c r="G15" s="4">
        <v>3</v>
      </c>
    </row>
    <row r="16" spans="1:7" x14ac:dyDescent="0.45">
      <c r="A16" s="21"/>
      <c r="B16" s="4" t="s">
        <v>3</v>
      </c>
      <c r="C16" s="4">
        <v>2</v>
      </c>
      <c r="D16" s="4">
        <v>1</v>
      </c>
      <c r="E16" s="4">
        <v>1</v>
      </c>
      <c r="F16" s="4">
        <v>2</v>
      </c>
      <c r="G16" s="4">
        <v>2</v>
      </c>
    </row>
    <row r="17" spans="1:7" x14ac:dyDescent="0.45">
      <c r="A17" s="21"/>
      <c r="B17" s="4" t="s">
        <v>4</v>
      </c>
      <c r="C17" s="4">
        <v>1</v>
      </c>
      <c r="D17" s="4">
        <v>1</v>
      </c>
      <c r="E17" s="4">
        <v>2</v>
      </c>
      <c r="F17" s="4">
        <v>3</v>
      </c>
      <c r="G17" s="4">
        <v>3</v>
      </c>
    </row>
    <row r="18" spans="1:7" x14ac:dyDescent="0.45">
      <c r="A18" s="21"/>
      <c r="B18" s="4" t="s">
        <v>5</v>
      </c>
      <c r="C18" s="4">
        <v>3</v>
      </c>
      <c r="D18" s="4">
        <v>3</v>
      </c>
      <c r="E18" s="4">
        <v>2</v>
      </c>
      <c r="F18" s="4">
        <v>3</v>
      </c>
      <c r="G18" s="4">
        <v>3</v>
      </c>
    </row>
    <row r="19" spans="1:7" x14ac:dyDescent="0.45">
      <c r="A19" s="5"/>
      <c r="B19" s="34" t="s">
        <v>6</v>
      </c>
      <c r="C19" s="6">
        <f>AVERAGE(C15:C18)</f>
        <v>2.25</v>
      </c>
      <c r="D19" s="6">
        <f>AVERAGE(D15:D18)</f>
        <v>1.5</v>
      </c>
      <c r="E19" s="6">
        <f>AVERAGE(E15:E18)</f>
        <v>1.5</v>
      </c>
      <c r="F19" s="6">
        <f>AVERAGE(F15:F18)</f>
        <v>2.25</v>
      </c>
      <c r="G19" s="6">
        <f>AVERAGE(G15:G18)</f>
        <v>2.75</v>
      </c>
    </row>
    <row r="20" spans="1:7" ht="89.25" customHeight="1" x14ac:dyDescent="0.45">
      <c r="A20" s="40" t="s">
        <v>74</v>
      </c>
      <c r="B20" s="41"/>
      <c r="C20" s="41"/>
      <c r="D20" s="41"/>
      <c r="E20" s="41"/>
      <c r="F20" s="41"/>
      <c r="G20" s="41"/>
    </row>
    <row r="21" spans="1:7" ht="32.25" customHeight="1" x14ac:dyDescent="0.45">
      <c r="A21" s="31" t="s">
        <v>8</v>
      </c>
      <c r="B21" s="32"/>
      <c r="C21" s="32"/>
      <c r="D21" s="32"/>
      <c r="E21" s="32"/>
      <c r="F21" s="32"/>
      <c r="G21" s="33"/>
    </row>
    <row r="22" spans="1:7" x14ac:dyDescent="0.45">
      <c r="A22" s="30" t="s">
        <v>1</v>
      </c>
      <c r="B22" s="37" t="s">
        <v>47</v>
      </c>
      <c r="C22" s="36" t="s">
        <v>9</v>
      </c>
      <c r="D22" s="30"/>
      <c r="E22" s="36" t="s">
        <v>9</v>
      </c>
      <c r="F22" s="36" t="s">
        <v>9</v>
      </c>
      <c r="G22" s="36" t="s">
        <v>9</v>
      </c>
    </row>
    <row r="23" spans="1:7" x14ac:dyDescent="0.45">
      <c r="A23" s="4" t="s">
        <v>7</v>
      </c>
      <c r="B23" s="35" t="s">
        <v>75</v>
      </c>
      <c r="C23" s="4"/>
      <c r="D23" s="29" t="s">
        <v>9</v>
      </c>
      <c r="E23" s="4"/>
      <c r="F23" s="4"/>
      <c r="G23" s="4"/>
    </row>
    <row r="24" spans="1:7" x14ac:dyDescent="0.45">
      <c r="A24" s="4" t="s">
        <v>71</v>
      </c>
      <c r="B24" s="35" t="s">
        <v>75</v>
      </c>
      <c r="C24" s="4"/>
      <c r="D24" s="4"/>
      <c r="E24" s="4"/>
      <c r="F24" s="4"/>
      <c r="G24" s="29" t="s">
        <v>9</v>
      </c>
    </row>
    <row r="25" spans="1:7" ht="80.650000000000006" customHeight="1" x14ac:dyDescent="0.45">
      <c r="A25" s="38" t="s">
        <v>76</v>
      </c>
      <c r="B25" s="39"/>
      <c r="C25" s="39"/>
      <c r="D25" s="39"/>
      <c r="E25" s="39"/>
      <c r="F25" s="39"/>
      <c r="G25" s="39"/>
    </row>
  </sheetData>
  <mergeCells count="9">
    <mergeCell ref="A21:G21"/>
    <mergeCell ref="A25:G25"/>
    <mergeCell ref="A20:G20"/>
    <mergeCell ref="A14:G14"/>
    <mergeCell ref="A8:G8"/>
    <mergeCell ref="A15:A18"/>
    <mergeCell ref="A3:A6"/>
    <mergeCell ref="A9:A1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tabSelected="1" zoomScaleNormal="100" workbookViewId="0">
      <selection activeCell="G13" sqref="G13"/>
    </sheetView>
  </sheetViews>
  <sheetFormatPr defaultColWidth="8.6640625" defaultRowHeight="14.25" x14ac:dyDescent="0.45"/>
  <cols>
    <col min="1" max="1" width="34" customWidth="1"/>
    <col min="2" max="2" width="22" customWidth="1"/>
    <col min="3" max="3" width="20" customWidth="1"/>
    <col min="4" max="5" width="16" customWidth="1"/>
  </cols>
  <sheetData>
    <row r="1" spans="1:4" ht="19.5" customHeight="1" x14ac:dyDescent="0.45">
      <c r="A1" s="19" t="s">
        <v>63</v>
      </c>
      <c r="B1" s="19"/>
      <c r="C1" s="19"/>
      <c r="D1" s="19"/>
    </row>
    <row r="2" spans="1:4" ht="15" customHeight="1" x14ac:dyDescent="0.45">
      <c r="A2" s="20" t="s">
        <v>10</v>
      </c>
      <c r="B2" s="20"/>
      <c r="C2" s="20"/>
      <c r="D2" s="20"/>
    </row>
    <row r="3" spans="1:4" x14ac:dyDescent="0.45">
      <c r="A3" s="7" t="s">
        <v>61</v>
      </c>
      <c r="B3" s="7" t="s">
        <v>11</v>
      </c>
      <c r="C3" s="7" t="s">
        <v>12</v>
      </c>
      <c r="D3" s="7" t="s">
        <v>13</v>
      </c>
    </row>
    <row r="4" spans="1:4" x14ac:dyDescent="0.45">
      <c r="A4" s="3" t="s">
        <v>48</v>
      </c>
      <c r="B4" s="10">
        <v>264</v>
      </c>
      <c r="C4" s="10">
        <v>15</v>
      </c>
      <c r="D4" s="11">
        <v>3960</v>
      </c>
    </row>
    <row r="5" spans="1:4" x14ac:dyDescent="0.45">
      <c r="A5" s="3" t="s">
        <v>49</v>
      </c>
      <c r="B5" s="10">
        <v>208</v>
      </c>
      <c r="C5" s="10">
        <v>15</v>
      </c>
      <c r="D5" s="11">
        <f>B5*C5</f>
        <v>3120</v>
      </c>
    </row>
    <row r="6" spans="1:4" x14ac:dyDescent="0.45">
      <c r="A6" s="3" t="s">
        <v>50</v>
      </c>
      <c r="B6" s="10">
        <v>280</v>
      </c>
      <c r="C6" s="10">
        <v>15</v>
      </c>
      <c r="D6" s="11">
        <f>B6*C6</f>
        <v>4200</v>
      </c>
    </row>
    <row r="7" spans="1:4" x14ac:dyDescent="0.45">
      <c r="A7" s="3" t="s">
        <v>51</v>
      </c>
      <c r="B7" s="10">
        <v>168</v>
      </c>
      <c r="C7" s="10">
        <v>15</v>
      </c>
      <c r="D7" s="11">
        <f>B7*C7</f>
        <v>2520</v>
      </c>
    </row>
    <row r="8" spans="1:4" x14ac:dyDescent="0.45">
      <c r="A8" s="3" t="s">
        <v>52</v>
      </c>
      <c r="B8" s="10">
        <v>120</v>
      </c>
      <c r="C8" s="10">
        <v>15</v>
      </c>
      <c r="D8" s="11">
        <f>B8*C8</f>
        <v>1800</v>
      </c>
    </row>
    <row r="9" spans="1:4" ht="15" customHeight="1" x14ac:dyDescent="0.45">
      <c r="A9" s="20" t="s">
        <v>14</v>
      </c>
      <c r="B9" s="20"/>
      <c r="C9" s="20"/>
      <c r="D9" s="20"/>
    </row>
    <row r="10" spans="1:4" x14ac:dyDescent="0.45">
      <c r="A10" s="7" t="s">
        <v>15</v>
      </c>
      <c r="B10" s="7" t="s">
        <v>16</v>
      </c>
      <c r="C10" s="7" t="s">
        <v>17</v>
      </c>
      <c r="D10" s="7" t="s">
        <v>13</v>
      </c>
    </row>
    <row r="11" spans="1:4" x14ac:dyDescent="0.45">
      <c r="A11" s="3" t="s">
        <v>53</v>
      </c>
      <c r="B11" s="10">
        <v>5</v>
      </c>
      <c r="C11" s="10">
        <v>150</v>
      </c>
      <c r="D11" s="11">
        <f>B11*C11</f>
        <v>750</v>
      </c>
    </row>
    <row r="12" spans="1:4" ht="15" customHeight="1" x14ac:dyDescent="0.45">
      <c r="A12" s="20" t="s">
        <v>18</v>
      </c>
      <c r="B12" s="20"/>
      <c r="C12" s="20"/>
      <c r="D12" s="20"/>
    </row>
    <row r="13" spans="1:4" x14ac:dyDescent="0.45">
      <c r="A13" s="7" t="s">
        <v>15</v>
      </c>
      <c r="B13" s="7"/>
      <c r="C13" s="7"/>
      <c r="D13" s="7" t="s">
        <v>19</v>
      </c>
    </row>
    <row r="14" spans="1:4" x14ac:dyDescent="0.45">
      <c r="A14" s="3" t="s">
        <v>20</v>
      </c>
      <c r="B14" s="10"/>
      <c r="C14" s="10"/>
      <c r="D14" s="11">
        <v>300</v>
      </c>
    </row>
    <row r="15" spans="1:4" x14ac:dyDescent="0.45">
      <c r="A15" s="3" t="s">
        <v>62</v>
      </c>
      <c r="B15" s="10"/>
      <c r="C15" s="10"/>
      <c r="D15" s="11">
        <v>100</v>
      </c>
    </row>
    <row r="16" spans="1:4" ht="15" customHeight="1" x14ac:dyDescent="0.45">
      <c r="A16" s="20" t="s">
        <v>21</v>
      </c>
      <c r="B16" s="20"/>
      <c r="C16" s="20"/>
      <c r="D16" s="20"/>
    </row>
    <row r="17" spans="1:5" x14ac:dyDescent="0.45">
      <c r="A17" s="7" t="s">
        <v>15</v>
      </c>
      <c r="B17" s="7" t="s">
        <v>22</v>
      </c>
      <c r="C17" s="7" t="s">
        <v>23</v>
      </c>
      <c r="D17" s="7" t="s">
        <v>13</v>
      </c>
    </row>
    <row r="18" spans="1:5" x14ac:dyDescent="0.45">
      <c r="A18" s="3" t="s">
        <v>43</v>
      </c>
      <c r="B18" s="10">
        <v>1</v>
      </c>
      <c r="C18" s="10">
        <v>600</v>
      </c>
      <c r="D18" s="11">
        <f>B18*C18</f>
        <v>600</v>
      </c>
    </row>
    <row r="19" spans="1:5" x14ac:dyDescent="0.45">
      <c r="A19" s="3" t="s">
        <v>64</v>
      </c>
      <c r="B19" s="10">
        <v>1</v>
      </c>
      <c r="C19" s="10">
        <v>0</v>
      </c>
      <c r="D19" s="11">
        <v>0</v>
      </c>
    </row>
    <row r="20" spans="1:5" x14ac:dyDescent="0.45">
      <c r="A20" s="3" t="s">
        <v>65</v>
      </c>
      <c r="B20" s="10">
        <v>1</v>
      </c>
      <c r="C20" s="10">
        <v>200</v>
      </c>
      <c r="D20" s="11">
        <f>B20*C20</f>
        <v>200</v>
      </c>
    </row>
    <row r="21" spans="1:5" ht="18" customHeight="1" x14ac:dyDescent="0.45">
      <c r="A21" s="17" t="s">
        <v>24</v>
      </c>
      <c r="B21" s="17"/>
      <c r="C21" s="17"/>
      <c r="D21" s="12">
        <f>D4+D5+D6+D7+D8+D11+D14+D15+D18+D19+D20</f>
        <v>17550</v>
      </c>
    </row>
    <row r="23" spans="1:5" ht="19.5" customHeight="1" x14ac:dyDescent="0.45">
      <c r="A23" s="18" t="s">
        <v>45</v>
      </c>
      <c r="B23" s="18"/>
      <c r="C23" s="18"/>
      <c r="D23" s="18"/>
      <c r="E23" s="18"/>
    </row>
    <row r="24" spans="1:5" ht="18" customHeight="1" x14ac:dyDescent="0.45">
      <c r="A24" s="13" t="s">
        <v>25</v>
      </c>
      <c r="B24" s="13" t="s">
        <v>26</v>
      </c>
      <c r="C24" s="13" t="s">
        <v>27</v>
      </c>
      <c r="D24" s="13" t="s">
        <v>28</v>
      </c>
      <c r="E24" s="14" t="s">
        <v>46</v>
      </c>
    </row>
    <row r="25" spans="1:5" x14ac:dyDescent="0.45">
      <c r="A25" s="24" t="s">
        <v>29</v>
      </c>
      <c r="B25" s="25"/>
      <c r="C25" s="25"/>
      <c r="D25" s="25"/>
      <c r="E25" s="25"/>
    </row>
    <row r="26" spans="1:5" x14ac:dyDescent="0.45">
      <c r="A26" s="3" t="s">
        <v>30</v>
      </c>
      <c r="B26" s="11">
        <v>15600</v>
      </c>
      <c r="C26" s="11">
        <v>0</v>
      </c>
      <c r="D26" s="11">
        <v>0</v>
      </c>
      <c r="E26" s="11">
        <v>0</v>
      </c>
    </row>
    <row r="27" spans="1:5" x14ac:dyDescent="0.45">
      <c r="A27" s="3" t="s">
        <v>44</v>
      </c>
      <c r="B27" s="11">
        <v>600</v>
      </c>
      <c r="C27" s="11">
        <v>600</v>
      </c>
      <c r="D27" s="11">
        <v>600</v>
      </c>
      <c r="E27" s="11">
        <v>600</v>
      </c>
    </row>
    <row r="28" spans="1:5" x14ac:dyDescent="0.45">
      <c r="A28" s="3" t="s">
        <v>31</v>
      </c>
      <c r="B28" s="11">
        <v>750</v>
      </c>
      <c r="C28" s="11">
        <v>0</v>
      </c>
      <c r="D28" s="11">
        <v>0</v>
      </c>
      <c r="E28" s="11">
        <v>0</v>
      </c>
    </row>
    <row r="29" spans="1:5" x14ac:dyDescent="0.45">
      <c r="A29" s="3" t="s">
        <v>32</v>
      </c>
      <c r="B29" s="11">
        <v>400</v>
      </c>
      <c r="C29" s="11">
        <v>0</v>
      </c>
      <c r="D29" s="11">
        <v>0</v>
      </c>
      <c r="E29" s="11">
        <v>0</v>
      </c>
    </row>
    <row r="30" spans="1:5" x14ac:dyDescent="0.45">
      <c r="A30" s="3" t="s">
        <v>33</v>
      </c>
      <c r="B30" s="11">
        <v>200</v>
      </c>
      <c r="C30" s="11">
        <v>0</v>
      </c>
      <c r="D30" s="11">
        <v>0</v>
      </c>
      <c r="E30" s="11">
        <v>0</v>
      </c>
    </row>
    <row r="31" spans="1:5" x14ac:dyDescent="0.45">
      <c r="A31" s="3" t="s">
        <v>34</v>
      </c>
      <c r="B31" s="11">
        <v>0</v>
      </c>
      <c r="C31" s="11">
        <v>1000</v>
      </c>
      <c r="D31" s="11">
        <v>1000</v>
      </c>
      <c r="E31" s="11">
        <v>1000</v>
      </c>
    </row>
    <row r="32" spans="1:5" x14ac:dyDescent="0.45">
      <c r="A32" s="3" t="s">
        <v>35</v>
      </c>
      <c r="B32" s="11">
        <v>1400</v>
      </c>
      <c r="C32" s="11">
        <v>0</v>
      </c>
      <c r="D32" s="11">
        <v>0</v>
      </c>
      <c r="E32" s="11">
        <v>0</v>
      </c>
    </row>
    <row r="33" spans="1:5" x14ac:dyDescent="0.45">
      <c r="A33" s="8" t="s">
        <v>36</v>
      </c>
      <c r="B33" s="9">
        <f>SUM(B26:B32)</f>
        <v>18950</v>
      </c>
      <c r="C33" s="9">
        <f>SUM(C26:C32)</f>
        <v>1600</v>
      </c>
      <c r="D33" s="9">
        <f>SUM(D26:D32)</f>
        <v>1600</v>
      </c>
      <c r="E33" s="9">
        <f>SUM(E26:E32)</f>
        <v>1600</v>
      </c>
    </row>
    <row r="34" spans="1:5" x14ac:dyDescent="0.45">
      <c r="A34" s="24" t="s">
        <v>37</v>
      </c>
      <c r="B34" s="25"/>
      <c r="C34" s="25"/>
      <c r="D34" s="25"/>
      <c r="E34" s="25"/>
    </row>
    <row r="35" spans="1:5" x14ac:dyDescent="0.45">
      <c r="A35" s="3" t="s">
        <v>60</v>
      </c>
      <c r="B35" s="11">
        <v>0</v>
      </c>
      <c r="C35" s="11">
        <v>4000</v>
      </c>
      <c r="D35" s="11">
        <v>4000</v>
      </c>
      <c r="E35" s="11">
        <v>4000</v>
      </c>
    </row>
    <row r="36" spans="1:5" x14ac:dyDescent="0.45">
      <c r="A36" s="3" t="s">
        <v>54</v>
      </c>
      <c r="B36" s="11">
        <v>0</v>
      </c>
      <c r="C36" s="11">
        <v>3000</v>
      </c>
      <c r="D36" s="11">
        <v>3000</v>
      </c>
      <c r="E36" s="11">
        <v>3000</v>
      </c>
    </row>
    <row r="37" spans="1:5" x14ac:dyDescent="0.45">
      <c r="A37" s="3" t="s">
        <v>55</v>
      </c>
      <c r="B37" s="11">
        <v>0</v>
      </c>
      <c r="C37" s="11">
        <v>1500</v>
      </c>
      <c r="D37" s="11">
        <v>3000</v>
      </c>
      <c r="E37" s="11">
        <v>3000</v>
      </c>
    </row>
    <row r="38" spans="1:5" x14ac:dyDescent="0.45">
      <c r="A38" s="3" t="s">
        <v>56</v>
      </c>
      <c r="B38" s="11">
        <v>0</v>
      </c>
      <c r="C38" s="11">
        <v>200</v>
      </c>
      <c r="D38" s="11">
        <v>200</v>
      </c>
      <c r="E38" s="11">
        <v>200</v>
      </c>
    </row>
    <row r="39" spans="1:5" x14ac:dyDescent="0.45">
      <c r="A39" s="3" t="s">
        <v>57</v>
      </c>
      <c r="B39" s="11">
        <v>0</v>
      </c>
      <c r="C39" s="11">
        <v>200</v>
      </c>
      <c r="D39" s="11">
        <v>200</v>
      </c>
      <c r="E39" s="11">
        <v>200</v>
      </c>
    </row>
    <row r="40" spans="1:5" x14ac:dyDescent="0.45">
      <c r="A40" s="3" t="s">
        <v>58</v>
      </c>
      <c r="B40" s="11">
        <v>0</v>
      </c>
      <c r="C40" s="11">
        <v>1500</v>
      </c>
      <c r="D40" s="11">
        <v>1500</v>
      </c>
      <c r="E40" s="11">
        <v>1500</v>
      </c>
    </row>
    <row r="41" spans="1:5" x14ac:dyDescent="0.45">
      <c r="A41" s="3" t="s">
        <v>59</v>
      </c>
      <c r="B41" s="11">
        <v>0</v>
      </c>
      <c r="C41" s="11">
        <v>300</v>
      </c>
      <c r="D41" s="11">
        <v>300</v>
      </c>
      <c r="E41" s="11">
        <v>300</v>
      </c>
    </row>
    <row r="42" spans="1:5" x14ac:dyDescent="0.45">
      <c r="A42" s="8" t="s">
        <v>38</v>
      </c>
      <c r="B42" s="9">
        <f>SUM(B35:B41)</f>
        <v>0</v>
      </c>
      <c r="C42" s="9">
        <f>SUM(C35:C41)</f>
        <v>10700</v>
      </c>
      <c r="D42" s="9">
        <f>SUM(D35:D41)</f>
        <v>12200</v>
      </c>
      <c r="E42" s="9">
        <f>SUM(E35:E41)</f>
        <v>12200</v>
      </c>
    </row>
    <row r="43" spans="1:5" x14ac:dyDescent="0.45">
      <c r="A43" s="8" t="s">
        <v>39</v>
      </c>
      <c r="B43" s="9">
        <f>B42-B33</f>
        <v>-18950</v>
      </c>
      <c r="C43" s="9">
        <f>C42-C33</f>
        <v>9100</v>
      </c>
      <c r="D43" s="9">
        <f>D42-D33</f>
        <v>10600</v>
      </c>
      <c r="E43" s="9">
        <f>E42-E33</f>
        <v>10600</v>
      </c>
    </row>
    <row r="44" spans="1:5" x14ac:dyDescent="0.45">
      <c r="A44" s="8" t="s">
        <v>40</v>
      </c>
      <c r="B44" s="9">
        <f>B43</f>
        <v>-18950</v>
      </c>
      <c r="C44" s="16">
        <f>B44+C43</f>
        <v>-9850</v>
      </c>
      <c r="D44" s="16">
        <f>C44+D43</f>
        <v>750</v>
      </c>
      <c r="E44" s="15">
        <f>D44+E43</f>
        <v>11350</v>
      </c>
    </row>
    <row r="45" spans="1:5" x14ac:dyDescent="0.45">
      <c r="A45" s="8" t="s">
        <v>41</v>
      </c>
      <c r="B45" s="4" t="s">
        <v>42</v>
      </c>
      <c r="C45" s="16">
        <f>(C44/ABS(B44))*100</f>
        <v>-51.978891820580472</v>
      </c>
      <c r="D45" s="16">
        <f>(D44/ABS(B44))*100</f>
        <v>3.9577836411609502</v>
      </c>
      <c r="E45" s="15">
        <f>(E44/ABS(C44))*100</f>
        <v>115.22842639593908</v>
      </c>
    </row>
  </sheetData>
  <mergeCells count="7">
    <mergeCell ref="A21:C21"/>
    <mergeCell ref="A23:E23"/>
    <mergeCell ref="A1:D1"/>
    <mergeCell ref="A2:D2"/>
    <mergeCell ref="A9:D9"/>
    <mergeCell ref="A12:D12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Analiza izvedivosti</vt:lpstr>
      <vt:lpstr>Analiza troškova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Dragan Arapović</cp:lastModifiedBy>
  <cp:revision>0</cp:revision>
  <dcterms:created xsi:type="dcterms:W3CDTF">2026-04-19T12:52:33Z</dcterms:created>
  <dcterms:modified xsi:type="dcterms:W3CDTF">2026-04-21T11:19:54Z</dcterms:modified>
  <dc:language>en-US</dc:language>
</cp:coreProperties>
</file>